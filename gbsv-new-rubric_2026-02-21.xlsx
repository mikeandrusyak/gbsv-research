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hnw365.sharepoint.com/teams/P-SUS_M365/Freigegebene Dokumente/General/teaching/gbsv/fs26/"/>
    </mc:Choice>
  </mc:AlternateContent>
  <xr:revisionPtr revIDLastSave="908" documentId="8_{BC7214DE-4BF2-415A-9CA5-9A10E0BA8936}" xr6:coauthVersionLast="47" xr6:coauthVersionMax="47" xr10:uidLastSave="{3C771281-ACB1-4E98-AA9E-A2EBC4E5E6A3}"/>
  <bookViews>
    <workbookView xWindow="-120" yWindow="-120" windowWidth="29040" windowHeight="17520" activeTab="1" xr2:uid="{291C89BA-2D8E-4489-94BE-542C4F10DADE}"/>
  </bookViews>
  <sheets>
    <sheet name="overview_grade" sheetId="9" r:id="rId1"/>
    <sheet name="task1" sheetId="4" r:id="rId2"/>
    <sheet name="task2" sheetId="7" r:id="rId3"/>
    <sheet name="task3" sheetId="8" r:id="rId4"/>
    <sheet name="competence_dimensions" sheetId="3" r:id="rId5"/>
    <sheet name="performance_levels" sheetId="1" r:id="rId6"/>
    <sheet name="gbsv_interpretations-indicators"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4" l="1"/>
  <c r="A2" i="9"/>
  <c r="C2" i="9"/>
  <c r="D2" i="9"/>
  <c r="E2" i="9"/>
  <c r="G2" i="9"/>
  <c r="F8" i="9"/>
  <c r="F10" i="8"/>
  <c r="F8" i="8"/>
  <c r="F6" i="8"/>
  <c r="F4" i="8"/>
  <c r="F2" i="8"/>
  <c r="F10" i="7"/>
  <c r="F8" i="7"/>
  <c r="F6" i="7"/>
  <c r="F4" i="7"/>
  <c r="F2" i="7"/>
  <c r="F10" i="4"/>
  <c r="F8" i="4"/>
  <c r="F6" i="4"/>
  <c r="F4" i="4"/>
  <c r="F2" i="4"/>
  <c r="E6" i="9"/>
  <c r="E5" i="9"/>
  <c r="E4" i="9"/>
  <c r="E3" i="9"/>
  <c r="D6" i="9"/>
  <c r="D5" i="9"/>
  <c r="D4" i="9"/>
  <c r="D3" i="9"/>
  <c r="G6" i="9"/>
  <c r="G5" i="9"/>
  <c r="G4" i="9"/>
  <c r="G3" i="9"/>
  <c r="C6" i="9"/>
  <c r="C5" i="9"/>
  <c r="C4" i="9"/>
  <c r="C3" i="9"/>
  <c r="A6" i="9"/>
  <c r="A5" i="9"/>
  <c r="A4" i="9"/>
  <c r="A3" i="9"/>
  <c r="H12" i="8"/>
  <c r="H12" i="7"/>
  <c r="H12" i="4"/>
  <c r="C7" i="9" l="1"/>
  <c r="D7" i="9"/>
  <c r="G7" i="9"/>
  <c r="G9" i="9" s="1"/>
  <c r="F12" i="8"/>
  <c r="E7" i="9"/>
  <c r="G12" i="8"/>
  <c r="F12" i="7"/>
  <c r="G12" i="7"/>
  <c r="F12" i="4"/>
  <c r="G12" i="4"/>
  <c r="F7" i="9" l="1"/>
  <c r="F9" i="9" s="1"/>
  <c r="H9" i="9" s="1"/>
</calcChain>
</file>

<file path=xl/sharedStrings.xml><?xml version="1.0" encoding="utf-8"?>
<sst xmlns="http://schemas.openxmlformats.org/spreadsheetml/2006/main" count="184" uniqueCount="88">
  <si>
    <t>Meets basic requirements but shows noticeable deficiencies or omissions.</t>
  </si>
  <si>
    <t>Well completed with only minor deficiencies or omissions.</t>
  </si>
  <si>
    <t>Fully and comprehensively completed without relevant deficiencies.</t>
  </si>
  <si>
    <t>Does not demonstrate sufficient methodological competence.</t>
  </si>
  <si>
    <t>Demonstrates basic methodological competence.</t>
  </si>
  <si>
    <t>Applies standard approaches correctly but with limited justification or reflection.</t>
  </si>
  <si>
    <t>Demonstrates solid methodological competence.</t>
  </si>
  <si>
    <t>Selects and applies standard approaches thoughtfully and with clear justification.</t>
  </si>
  <si>
    <t>Demonstrates advanced methodological competence.</t>
  </si>
  <si>
    <t>Goes beyond standard approaches through justified methodological depth or original intellectual contribution.</t>
  </si>
  <si>
    <t>Applies approaches incorrectly or incompletely.</t>
  </si>
  <si>
    <t>Data &amp; Domain Competence</t>
  </si>
  <si>
    <t>Methodological Competence</t>
  </si>
  <si>
    <t>Technical Implementation Competence</t>
  </si>
  <si>
    <t>Evaluation Competence</t>
  </si>
  <si>
    <t>Analytical &amp; Communication Competence</t>
  </si>
  <si>
    <t>Selects, justifies, and appropriately uses data in alignment with the use case, demonstrating domain understanding and proper referencing of sources.</t>
  </si>
  <si>
    <t>Designs and justifies suitable methodological approaches, including the selection of models, parameters, and metrics, and where appropriate integrates advanced or original methods.</t>
  </si>
  <si>
    <t>Implements algorithms and methods correctly and reliably in a technically sound and reproducible manner.</t>
  </si>
  <si>
    <t>Interprets and contextualizes results in relation to the use case, structures the analysis logically, and communicates findings clearly and convincingly.</t>
  </si>
  <si>
    <t>Good (2 points)</t>
  </si>
  <si>
    <t>Excellent (3 points)</t>
  </si>
  <si>
    <t>Pass (1 points)</t>
  </si>
  <si>
    <t>Fail (0 points)</t>
  </si>
  <si>
    <t>Data &amp; Domain</t>
  </si>
  <si>
    <t>Methodological</t>
  </si>
  <si>
    <t>Technical Implementation</t>
  </si>
  <si>
    <t>Evaluation</t>
  </si>
  <si>
    <t>Analytical &amp; Communication</t>
  </si>
  <si>
    <t>Methods are incorrect, unsuitable, or fundamentally misunderstood.</t>
  </si>
  <si>
    <t>Standard methods are applied correctly but with limited justification.</t>
  </si>
  <si>
    <t>Methods are selected and applied appropriately with clear justification.</t>
  </si>
  <si>
    <t>Methodological choices go beyond standard approaches through justified depth or original contribution.</t>
  </si>
  <si>
    <t>Use case and data are unclear, inappropriate, or fundamentally misaligned.</t>
  </si>
  <si>
    <t>Use case and data are generally appropriate but weakly justified or loosely aligned.</t>
  </si>
  <si>
    <t>Use case and data are clearly defined and appropriately aligned with sound justification.</t>
  </si>
  <si>
    <t>Use case and data are thoughtfully framed and optimally aligned, demonstrating deep understanding of task constraints.</t>
  </si>
  <si>
    <t>Evaluation is missing, inappropriate, or unrelated to the use case.</t>
  </si>
  <si>
    <t>Evaluation is present but limited or only loosely connected to the use case.</t>
  </si>
  <si>
    <t>Evaluation is appropriate and clearly linked to the use case.</t>
  </si>
  <si>
    <t>Weight</t>
  </si>
  <si>
    <t>Points Achieved</t>
  </si>
  <si>
    <t>Competence</t>
  </si>
  <si>
    <t>Interpretation</t>
  </si>
  <si>
    <t>Illustrative Indicators Strong Performance (Non-Exhaustive)</t>
  </si>
  <si>
    <t>Illustrative Indicators Weak Performance (Non-Exhaustive)</t>
  </si>
  <si>
    <t>- Use case or problem statement is missing, vague or disconnected from the data.
- Signal/image chosen without justification.
- No or weak link between data properties and task.
- No data sources added.</t>
  </si>
  <si>
    <t>- Clear and precise problem formulation (WHAT and WHY).
- Explicit explanation of why the chosen signal or image is appropriate for the task.
- Discussion of relevant signal/image characteristics (e.g., periodicity, bandwidth, resolution, noise, contrast).
- Coherent link between use case and selected data.
- Data sources referenced</t>
  </si>
  <si>
    <t>- Method chosen without explanation.
- Parameters selected arbitrarily without reasoning.
- Using a method because it was shown in class, without justification.
- No consideration of suitability to the use case.</t>
  </si>
  <si>
    <t>- Correct implementation of algorithms (e.g., convolution, correlation, segmentation pipeline) including relevant steps/parameters.
- Clear presentation of intermediate results.
- Transparent computational steps allowing the process to be followed without re-running code.
- Consistent and technically sound execution.</t>
  </si>
  <si>
    <t>- Incorrect implementation of core operations.
- Missing intermediate steps.
- Black-box use of functions without explanation.
- Technical errors affecting results.</t>
  </si>
  <si>
    <t>- Clear reasoning of why a specific method (e.g., convolution, correlation, thresholding, Hough transform) is appropriate for the defined use case.
- Reasoned choice of parameters (e.g., kernel size, threshold value, sampling rate).
- Comparison of alternative approaches and explanation of trade-offs.
- Explicit link between signal/image properties and chosen method.</t>
  </si>
  <si>
    <t>- Use of appropriate quantitative measures (e.g., SNR, PSNR, SSIM, object counts).
-Visual inspection combined with quantitative assessment.
- Systematic parameter variation where relevant.
- Explicit connection between evaluation results and the defined use case.</t>
  </si>
  <si>
    <t xml:space="preserve">- Only qualitative visual inspection without metrics.
- Metrics unrelated to the use case.
- No validation of results.
</t>
  </si>
  <si>
    <t>- Clear and relevant observations (what is seen in the results).
-Explicit interpretation (what these observations mean for the defined use case).
- Critical discussion (strengths, limitations, and boundary conditions of the chosen approach).
- Reflection on the applicability of the results to the problem statement.
- Coherent narrative connecting country → use case → method → results → meaning.</t>
  </si>
  <si>
    <t>- Observations (what is seen) reported without interpretation.
- Interpretation without linking back to the use case.
- No discussion of limitations or applicability.
- Descriptive reporting instead of analytical reasoning.
- Weak or unclear argumentative structure.</t>
  </si>
  <si>
    <t>In short: correct but limited justification</t>
  </si>
  <si>
    <t>In short: incorrect or fundamentally flawed</t>
  </si>
  <si>
    <t>In short:  correct and clearly justified</t>
  </si>
  <si>
    <t>In short: goes beyond standard approaches</t>
  </si>
  <si>
    <t>Implements algorithms and methods correctly and ensures that relevant computational steps and intermediate results are presented in a technically sound and traceable manner.</t>
  </si>
  <si>
    <t>Implementation is generally correct but shows weaknesses, minor technical issues, or insufficient transparency of relevant steps.</t>
  </si>
  <si>
    <t>Implementation is correct, reliable, and well-structured, with relevant intermediate steps presented clearly.</t>
  </si>
  <si>
    <t>Implementation is robust, very well-structured, and transparently documents relevant intermediate steps, demonstrating high technical maturity.</t>
  </si>
  <si>
    <t>In gbsv, this includes clearly defining a signal- or image-based problem (e.g., aliasing, periodicity detection, filtering, segmentation), selecting appropriate 1D signals or 2D images related to the chosen country, and justifying why the signal characteristics (sampling rate, frequency content, noise, object separability, contrast) are suitable for the defined use case.
Focus: framing and data properties</t>
  </si>
  <si>
    <t>In gbsv, this includes selecting and justifying appropriate classical signal and image processing methods (e.g., sampling analysis, convolution, correlation, thresholding, morphology), choosing suitable parameters (kernel size, thresholds, structuring elements), and explaining why these methods are appropriate for the defined use case.
Focus: WHAT method and WHY - conceptual reasoning</t>
  </si>
  <si>
    <t>In gbsv, this includes correctly implementing core algorithms (e.g., Nyquist rate calculation, convolution, deconvolution, correlation, segmentation steps), clearly demonstrating intermediate steps, and ensuring that results are reproducible and technically sound in a traceable manner.
Focus: HOW it is implemented</t>
  </si>
  <si>
    <t>In gbsv, this includes quantitatively and visually assessing results (e.g., aliasing effects, segmentation accuracy, object counts, statistical summaries), systematically exploring parameter effects where relevant, and linking evaluation results back to the use case.
Focus: Does it work? How well? Under what conditions?</t>
  </si>
  <si>
    <t>In gbsv, this includes interpreting results explicitly in relation to the defined use case, explaining their meaning and applicability to the problem statement, discussing strengths and limitations of the chosen approach, and communicating the analysis in a clear and logically structured manner, structuring the submission with a coherent narrative related to the chosen country.
Focus: Meaning relative to the use case, applicability, critical reflection, and coherent structure</t>
  </si>
  <si>
    <t>Implementation is incorrect, unreliable, fails to learn or detect the intended structure, or lacks transparency of essential processing steps.</t>
  </si>
  <si>
    <t>Notes</t>
  </si>
  <si>
    <t>Total Points</t>
  </si>
  <si>
    <t>Grade</t>
  </si>
  <si>
    <t>Results are not neither described nor interpreted; lack of written communication.</t>
  </si>
  <si>
    <t>Designs and conducts meaningful evaluations specific to the use case using appropriate metrics and visualizations.</t>
  </si>
  <si>
    <t>Results are described but interpretation remains limited; little written communication or not to the point.</t>
  </si>
  <si>
    <t xml:space="preserve">Results are deeply contextualized to use case, critically reflected, and communicated with clarity and insight. </t>
  </si>
  <si>
    <t>Results are clearly described, interpreted, contextualized to use case and logically communicated to the point.</t>
  </si>
  <si>
    <t>Evaluation is rigorous and insightful, employing advanced, well-justified performance metrics that are specifically tailored to the use case.</t>
  </si>
  <si>
    <t>Designs and conducts meaningful evaluations using appropriate metrics and visualizations specific to the use case.</t>
  </si>
  <si>
    <t>Methodological Design</t>
  </si>
  <si>
    <t>Bonus Points</t>
  </si>
  <si>
    <t>Task1</t>
  </si>
  <si>
    <t>Task2</t>
  </si>
  <si>
    <t>Task3</t>
  </si>
  <si>
    <t>Subtotal</t>
  </si>
  <si>
    <t>Max Points</t>
  </si>
  <si>
    <t>Bonus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</si>
</sst>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0" tint="-0.249977111117893"/>
        <bgColor theme="0" tint="-0.14999847407452621"/>
      </patternFill>
    </fill>
    <fill>
      <patternFill patternType="solid">
        <fgColor theme="0" tint="-0.249977111117893"/>
        <bgColor indexed="64"/>
      </patternFill>
    </fill>
  </fills>
  <borders count="3">
    <border>
      <left/>
      <right/>
      <top/>
      <bottom/>
      <diagonal/>
    </border>
    <border>
      <left style="thin">
        <color theme="0"/>
      </left>
      <right style="thin">
        <color theme="0"/>
      </right>
      <top style="thin">
        <color theme="0"/>
      </top>
      <bottom/>
      <diagonal/>
    </border>
    <border>
      <left/>
      <right/>
      <top style="thin">
        <color indexed="64"/>
      </top>
      <bottom style="double">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xf numFmtId="0" fontId="0" fillId="2" borderId="1" xfId="0" applyFill="1" applyBorder="1" applyAlignment="1">
      <alignment wrapText="1"/>
    </xf>
    <xf numFmtId="0" fontId="0" fillId="3" borderId="0" xfId="0" applyFill="1"/>
    <xf numFmtId="0" fontId="0" fillId="3" borderId="2" xfId="0" applyFill="1" applyBorder="1"/>
  </cellXfs>
  <cellStyles count="1">
    <cellStyle name="Normal" xfId="0" builtinId="0"/>
  </cellStyles>
  <dxfs count="35">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D81AE8-EC2F-4124-92E1-8F3EB2BC2208}" name="Table7" displayName="Table7" ref="A1:G7" totalsRowShown="0">
  <autoFilter ref="A1:G7" xr:uid="{96D81AE8-EC2F-4124-92E1-8F3EB2BC22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58341-ECBD-4FCA-96E3-F18C595F42C5}" name="Competence"/>
    <tableColumn id="2" xr3:uid="{477ECE46-4D74-4218-BEBB-974309117F1C}" name="Weight"/>
    <tableColumn id="3" xr3:uid="{F0FD4DE7-B0B2-45AD-BF39-684D9F8B2AF5}" name="Task1"/>
    <tableColumn id="4" xr3:uid="{4AC006AD-B5F8-49B2-B314-7AC4B978FE22}" name="Task2"/>
    <tableColumn id="5" xr3:uid="{DF44002B-A64F-4375-B6E8-407B430F45DE}" name="Task3"/>
    <tableColumn id="6" xr3:uid="{E93E5480-CBDB-4997-81B6-7F0D1F8E6698}" name="Total Points"/>
    <tableColumn id="7" xr3:uid="{8B94F7B5-AA33-447B-9A7C-B782AED1C607}" name="Bonus credits"/>
  </tableColumns>
  <tableStyleInfo name="TableStyleMedium1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3" totalsRowShown="0" headerRowDxfId="34" dataDxfId="33">
  <autoFilter ref="A1:I13"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32"/>
    <tableColumn id="2" xr3:uid="{CDFC6CAB-820D-4C41-A76B-39B7C61A9C74}" name="Fail (0 points)" dataDxfId="31"/>
    <tableColumn id="3" xr3:uid="{0FE1B8B9-E5DC-4317-B74C-8D150C2A5ECC}" name="Pass (1 points)" dataDxfId="30"/>
    <tableColumn id="4" xr3:uid="{0CEF8825-405E-4452-9BE1-968276FF1176}" name="Good (2 points)" dataDxfId="29"/>
    <tableColumn id="5" xr3:uid="{F9D3D764-FD81-4B9F-85A9-925F4C16ECAB}" name="Excellent (3 points)" dataDxfId="28"/>
    <tableColumn id="6" xr3:uid="{B73D6D4E-8D01-4ED2-AC1A-6D44BC57624B}" name="Weight" dataDxfId="27"/>
    <tableColumn id="7" xr3:uid="{4857E3FB-8D19-44DF-BA12-6D8561D09CC3}" name="Points Achieved" dataDxfId="26"/>
    <tableColumn id="9" xr3:uid="{32410447-A1D6-4850-9CDD-EB7F37F7ADE4}" name="Bonus Points"/>
    <tableColumn id="8" xr3:uid="{6AD4CCBD-FE2E-4464-8ADD-B7E9D8615471}" name="Notes" dataDxfId="2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BBBAD-25AC-44A3-BBCF-299B59C86B08}" name="Table22" displayName="Table22" ref="A1:I12" totalsRowShown="0" headerRowDxfId="24" dataDxfId="2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E46D7BE-17AC-4E51-90F9-81DFD8FA556C}" name="Competence" dataDxfId="22"/>
    <tableColumn id="2" xr3:uid="{016D438B-679C-4741-9424-A55D58E16630}" name="Fail (0 points)" dataDxfId="21"/>
    <tableColumn id="3" xr3:uid="{7015D14E-5CD2-44DB-9F3E-CB2E66C8C226}" name="Pass (1 points)" dataDxfId="20"/>
    <tableColumn id="4" xr3:uid="{EA110171-3AE7-47E7-A327-073EFFD74BBA}" name="Good (2 points)" dataDxfId="19"/>
    <tableColumn id="5" xr3:uid="{F039A612-1D09-4168-A9EE-00C3AB8FCBCD}" name="Excellent (3 points)" dataDxfId="18"/>
    <tableColumn id="6" xr3:uid="{88EE081E-A28D-44ED-9366-E03DB02BCA1B}" name="Weight" dataDxfId="17"/>
    <tableColumn id="7" xr3:uid="{23D98B01-02A1-4C8F-B575-0EC693132041}" name="Points Achieved" dataDxfId="16"/>
    <tableColumn id="9" xr3:uid="{7A78B9A9-FCE0-4BCF-9244-39A043354C01}" name="Bonus Points"/>
    <tableColumn id="8" xr3:uid="{816203FC-2342-4BE9-B1D6-9E3441C0B773}" name="Notes" dataDxfId="1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2D67C5-0C4F-4385-9E21-8D2AD1F82F73}" name="Competence" dataDxfId="12"/>
    <tableColumn id="2" xr3:uid="{E888C963-68AD-43E6-AE33-3EF01EAB36A8}" name="Fail (0 points)" dataDxfId="11"/>
    <tableColumn id="3" xr3:uid="{D081F040-D0CF-4F9B-B949-2A75D40D75E2}" name="Pass (1 points)" dataDxfId="10"/>
    <tableColumn id="4" xr3:uid="{EB534A87-B0BB-437C-AAB3-79538C18B85F}" name="Good (2 points)" dataDxfId="9"/>
    <tableColumn id="5" xr3:uid="{B626069B-C47A-47D9-BD36-826AC184F94C}" name="Excellent (3 points)" dataDxfId="8"/>
    <tableColumn id="6" xr3:uid="{9C070C09-2CCD-4B8B-961D-E0970C43816E}" name="Weight" dataDxfId="7"/>
    <tableColumn id="7" xr3:uid="{7DB0206B-561D-406B-985B-CC1813B51131}" name="Points Achieved" dataDxfId="6"/>
    <tableColumn id="9" xr3:uid="{D0272112-26CB-402C-BE90-F16238EBCBA3}" name="Bonus Points"/>
    <tableColumn id="8" xr3:uid="{CF419648-AC54-44C4-8F1A-AE43B293279A}" name="Notes" dataDxfId="5"/>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AF2826-6DE8-4A48-BC4D-B7328143928A}" name="Table3" displayName="Table3" ref="A1:D6" totalsRowShown="0" dataDxfId="4">
  <autoFilter ref="A1:D6" xr:uid="{77AF2826-6DE8-4A48-BC4D-B7328143928A}">
    <filterColumn colId="0" hiddenButton="1"/>
    <filterColumn colId="1" hiddenButton="1"/>
    <filterColumn colId="2" hiddenButton="1"/>
    <filterColumn colId="3" hiddenButton="1"/>
  </autoFilter>
  <tableColumns count="4">
    <tableColumn id="1" xr3:uid="{EA2B7324-A4B8-4967-A810-9116DAF0ABB4}" name="Competence" dataDxfId="3"/>
    <tableColumn id="2" xr3:uid="{B1047790-F9C8-4D16-B6EB-9812C372692E}" name="Interpretation" dataDxfId="2"/>
    <tableColumn id="3" xr3:uid="{923BC08A-1D24-4854-8B2B-55A0A54741F7}" name="Illustrative Indicators Strong Performance (Non-Exhaustive)" dataDxfId="1"/>
    <tableColumn id="4" xr3:uid="{E37913AA-80C1-4419-9D22-2526EA0A6251}" name="Illustrative Indicators Weak Performance (Non-Exhaustiv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E4AE-AA6C-4FFC-A5B6-75D1646F4A25}">
  <dimension ref="A1:H10"/>
  <sheetViews>
    <sheetView workbookViewId="0">
      <selection activeCell="F9" sqref="F9"/>
    </sheetView>
  </sheetViews>
  <sheetFormatPr defaultRowHeight="15" x14ac:dyDescent="0.25"/>
  <cols>
    <col min="1" max="1" width="29.28515625" customWidth="1"/>
    <col min="2" max="2" width="11" customWidth="1"/>
    <col min="6" max="6" width="13.5703125" customWidth="1"/>
    <col min="7" max="7" width="15.140625" customWidth="1"/>
  </cols>
  <sheetData>
    <row r="1" spans="1:8" x14ac:dyDescent="0.25">
      <c r="A1" t="s">
        <v>42</v>
      </c>
      <c r="B1" t="s">
        <v>40</v>
      </c>
      <c r="C1" t="s">
        <v>82</v>
      </c>
      <c r="D1" t="s">
        <v>83</v>
      </c>
      <c r="E1" t="s">
        <v>84</v>
      </c>
      <c r="F1" t="s">
        <v>71</v>
      </c>
      <c r="G1" t="s">
        <v>87</v>
      </c>
    </row>
    <row r="2" spans="1:8" x14ac:dyDescent="0.25">
      <c r="A2" t="str">
        <f>Table2[[#This Row],[Competence]]</f>
        <v>Data &amp; Domain</v>
      </c>
      <c r="B2">
        <v>1</v>
      </c>
      <c r="C2">
        <f>Table2[[#This Row],[Points Achieved]]</f>
        <v>0</v>
      </c>
      <c r="D2">
        <f>Table22[[#This Row],[Points Achieved]]</f>
        <v>0</v>
      </c>
      <c r="E2">
        <f>Table25[[#This Row],[Points Achieved]]</f>
        <v>0</v>
      </c>
      <c r="G2">
        <f>SUM(Table2[[#This Row],[Bonus Points]],Table22[[#This Row],[Bonus Points]],Table25[[#This Row],[Bonus Points]])</f>
        <v>0</v>
      </c>
    </row>
    <row r="3" spans="1:8" x14ac:dyDescent="0.25">
      <c r="A3" t="str">
        <f>task1!A4</f>
        <v>Methodological Design</v>
      </c>
      <c r="B3">
        <v>1</v>
      </c>
      <c r="C3">
        <f>task1!G4</f>
        <v>0</v>
      </c>
      <c r="D3">
        <f>task2!G4</f>
        <v>0</v>
      </c>
      <c r="E3">
        <f>task2!G4</f>
        <v>0</v>
      </c>
      <c r="G3">
        <f>SUM(task1!H4,task2!H4,task3!H4,)</f>
        <v>0</v>
      </c>
    </row>
    <row r="4" spans="1:8" x14ac:dyDescent="0.25">
      <c r="A4" t="str">
        <f>task1!A6</f>
        <v>Technical Implementation</v>
      </c>
      <c r="B4">
        <v>1</v>
      </c>
      <c r="C4">
        <f>task1!G6</f>
        <v>0</v>
      </c>
      <c r="D4">
        <f>task2!G6</f>
        <v>0</v>
      </c>
      <c r="E4">
        <f>task3!G6</f>
        <v>0</v>
      </c>
      <c r="G4">
        <f>SUM(task1!H6,task2!H6,task3!H6)</f>
        <v>0</v>
      </c>
    </row>
    <row r="5" spans="1:8" x14ac:dyDescent="0.25">
      <c r="A5" t="str">
        <f>task1!A8</f>
        <v>Evaluation</v>
      </c>
      <c r="B5">
        <v>1</v>
      </c>
      <c r="C5">
        <f>task1!G8</f>
        <v>0</v>
      </c>
      <c r="D5">
        <f>task2!G8</f>
        <v>0</v>
      </c>
      <c r="E5">
        <f>task3!G8</f>
        <v>0</v>
      </c>
      <c r="G5">
        <f>SUM(task1!H8,task2!H8,task3!H8)</f>
        <v>0</v>
      </c>
    </row>
    <row r="6" spans="1:8" x14ac:dyDescent="0.25">
      <c r="A6" t="str">
        <f>task1!A10</f>
        <v>Analytical &amp; Communication</v>
      </c>
      <c r="B6">
        <v>1</v>
      </c>
      <c r="C6">
        <f>task1!G10</f>
        <v>0</v>
      </c>
      <c r="D6">
        <f>task2!G10</f>
        <v>0</v>
      </c>
      <c r="E6">
        <f>task3!G10</f>
        <v>0</v>
      </c>
      <c r="G6">
        <f>SUM(task1!H10,task2!H10,task3!H10)</f>
        <v>0</v>
      </c>
    </row>
    <row r="7" spans="1:8" x14ac:dyDescent="0.25">
      <c r="A7" t="s">
        <v>85</v>
      </c>
      <c r="C7">
        <f>SUM($B2*C2,$B3*C3,$B4*C4,$B5*C5,$B6*C6)</f>
        <v>0</v>
      </c>
      <c r="D7">
        <f>SUM($B2*D2,$B3*D3,$B4*D4,$B5*D5,$B6*D6)</f>
        <v>0</v>
      </c>
      <c r="E7">
        <f>SUM($B2*E2,$B3*E3,$B4*E4,$B5*E5,$B6*E6)</f>
        <v>0</v>
      </c>
      <c r="F7">
        <f>SUM(C7:E7)</f>
        <v>0</v>
      </c>
      <c r="G7">
        <f>SUM(G2:G6)</f>
        <v>0</v>
      </c>
    </row>
    <row r="8" spans="1:8" x14ac:dyDescent="0.25">
      <c r="A8" t="s">
        <v>86</v>
      </c>
      <c r="F8">
        <f>SUM(B2*3,B3*3,B4*3,B5*3,B6*3)*3</f>
        <v>45</v>
      </c>
      <c r="G8">
        <v>15</v>
      </c>
    </row>
    <row r="9" spans="1:8" ht="15.75" thickBot="1" x14ac:dyDescent="0.3">
      <c r="A9" t="s">
        <v>72</v>
      </c>
      <c r="F9" s="12">
        <f>MAX(1,MIN(6,
IF(F7&lt;=$F$8/3,
   1+9*F7/$F$8,
   IF(F7&lt;=2*$F$8/3,
      3+3*F7/$F$8,
      4.5+1.5*F7/$F$8
   )
)))</f>
        <v>1</v>
      </c>
      <c r="G9" s="13">
        <f>IF(G7&lt;10,0,MIN(G7,G8)/G8*0.33)</f>
        <v>0</v>
      </c>
      <c r="H9" s="14">
        <f>F9+G9</f>
        <v>1</v>
      </c>
    </row>
    <row r="10" spans="1:8" ht="15.75" thickTop="1" x14ac:dyDescent="0.2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dimension ref="A1:I13"/>
  <sheetViews>
    <sheetView tabSelected="1" zoomScale="102" zoomScaleNormal="140" workbookViewId="0">
      <selection activeCell="G13" sqref="G13"/>
    </sheetView>
  </sheetViews>
  <sheetFormatPr defaultRowHeight="15" x14ac:dyDescent="0.25"/>
  <cols>
    <col min="1" max="1" width="42.42578125" customWidth="1"/>
    <col min="2" max="2" width="28.7109375" bestFit="1" customWidth="1"/>
    <col min="3" max="3" width="29.42578125" customWidth="1"/>
    <col min="4" max="4" width="29.28515625" bestFit="1" customWidth="1"/>
    <col min="5" max="5" width="29.140625" bestFit="1" customWidth="1"/>
    <col min="6" max="6" width="7.42578125" bestFit="1" customWidth="1"/>
    <col min="7" max="7" width="15.5703125" bestFit="1" customWidth="1"/>
    <col min="8" max="8" width="15.5703125" customWidth="1"/>
    <col min="9" max="9" width="38.5703125" customWidth="1"/>
  </cols>
  <sheetData>
    <row r="1" spans="1:9" x14ac:dyDescent="0.25">
      <c r="A1" s="1" t="s">
        <v>42</v>
      </c>
      <c r="B1" s="1" t="s">
        <v>23</v>
      </c>
      <c r="C1" s="1" t="s">
        <v>22</v>
      </c>
      <c r="D1" s="1" t="s">
        <v>20</v>
      </c>
      <c r="E1" s="1" t="s">
        <v>21</v>
      </c>
      <c r="F1" s="1" t="s">
        <v>40</v>
      </c>
      <c r="G1" s="1" t="s">
        <v>41</v>
      </c>
      <c r="H1" s="1" t="s">
        <v>81</v>
      </c>
      <c r="I1" s="1" t="s">
        <v>70</v>
      </c>
    </row>
    <row r="2" spans="1:9" x14ac:dyDescent="0.25">
      <c r="A2" s="1" t="s">
        <v>24</v>
      </c>
      <c r="B2" s="4"/>
      <c r="C2" s="4"/>
      <c r="D2" s="4"/>
      <c r="E2" s="4"/>
      <c r="F2" s="5">
        <f>overview_grade!B2</f>
        <v>1</v>
      </c>
      <c r="G2" s="5">
        <v>0</v>
      </c>
      <c r="H2" s="5">
        <v>0</v>
      </c>
      <c r="I2" s="3"/>
    </row>
    <row r="3" spans="1:9" s="8" customFormat="1" ht="90" x14ac:dyDescent="0.25">
      <c r="A3" s="6" t="s">
        <v>16</v>
      </c>
      <c r="B3" s="6" t="s">
        <v>33</v>
      </c>
      <c r="C3" s="6" t="s">
        <v>34</v>
      </c>
      <c r="D3" s="6" t="s">
        <v>35</v>
      </c>
      <c r="E3" s="6" t="s">
        <v>36</v>
      </c>
      <c r="F3" s="7"/>
      <c r="G3" s="7"/>
      <c r="H3" s="7"/>
      <c r="I3" s="3"/>
    </row>
    <row r="4" spans="1:9" x14ac:dyDescent="0.25">
      <c r="A4" s="1" t="s">
        <v>80</v>
      </c>
      <c r="B4" s="3"/>
      <c r="C4" s="3"/>
      <c r="D4" s="3"/>
      <c r="E4" s="3"/>
      <c r="F4" s="5">
        <f>overview_grade!B3</f>
        <v>1</v>
      </c>
      <c r="G4" s="5">
        <v>0</v>
      </c>
      <c r="H4" s="5">
        <v>0</v>
      </c>
      <c r="I4" s="3"/>
    </row>
    <row r="5" spans="1:9" s="8" customFormat="1" ht="75" x14ac:dyDescent="0.25">
      <c r="A5" s="6" t="s">
        <v>17</v>
      </c>
      <c r="B5" s="6" t="s">
        <v>29</v>
      </c>
      <c r="C5" s="6" t="s">
        <v>30</v>
      </c>
      <c r="D5" s="6" t="s">
        <v>31</v>
      </c>
      <c r="E5" s="6" t="s">
        <v>32</v>
      </c>
      <c r="F5" s="7"/>
      <c r="G5" s="7"/>
      <c r="H5" s="7"/>
      <c r="I5" s="3"/>
    </row>
    <row r="6" spans="1:9" x14ac:dyDescent="0.25">
      <c r="A6" s="1" t="s">
        <v>26</v>
      </c>
      <c r="B6" s="3"/>
      <c r="C6" s="3"/>
      <c r="D6" s="3"/>
      <c r="E6" s="3"/>
      <c r="F6" s="5">
        <f>overview_grade!B4</f>
        <v>1</v>
      </c>
      <c r="G6" s="5">
        <v>0</v>
      </c>
      <c r="H6" s="5">
        <v>0</v>
      </c>
      <c r="I6" s="3"/>
    </row>
    <row r="7" spans="1:9" s="8" customFormat="1" ht="90" x14ac:dyDescent="0.25">
      <c r="A7" s="6" t="s">
        <v>60</v>
      </c>
      <c r="B7" s="6" t="s">
        <v>69</v>
      </c>
      <c r="C7" s="6" t="s">
        <v>61</v>
      </c>
      <c r="D7" s="6" t="s">
        <v>62</v>
      </c>
      <c r="E7" s="6" t="s">
        <v>63</v>
      </c>
      <c r="F7" s="7"/>
      <c r="G7" s="7"/>
      <c r="H7" s="7"/>
      <c r="I7" s="3"/>
    </row>
    <row r="8" spans="1:9" x14ac:dyDescent="0.25">
      <c r="A8" s="1" t="s">
        <v>27</v>
      </c>
      <c r="B8" s="3"/>
      <c r="C8" s="3"/>
      <c r="D8" s="3"/>
      <c r="E8" s="3"/>
      <c r="F8" s="5">
        <f>overview_grade!B5</f>
        <v>1</v>
      </c>
      <c r="G8" s="5">
        <v>0</v>
      </c>
      <c r="H8" s="5">
        <v>0</v>
      </c>
      <c r="I8" s="3"/>
    </row>
    <row r="9" spans="1:9" s="8" customFormat="1" ht="90" x14ac:dyDescent="0.25">
      <c r="A9" s="6" t="s">
        <v>74</v>
      </c>
      <c r="B9" s="6" t="s">
        <v>37</v>
      </c>
      <c r="C9" s="6" t="s">
        <v>38</v>
      </c>
      <c r="D9" s="6" t="s">
        <v>39</v>
      </c>
      <c r="E9" s="6" t="s">
        <v>78</v>
      </c>
      <c r="F9" s="7"/>
      <c r="G9" s="7"/>
      <c r="H9" s="7"/>
      <c r="I9" s="3"/>
    </row>
    <row r="10" spans="1:9" x14ac:dyDescent="0.25">
      <c r="A10" s="1" t="s">
        <v>28</v>
      </c>
      <c r="B10" s="3"/>
      <c r="C10" s="3"/>
      <c r="D10" s="3"/>
      <c r="E10" s="3"/>
      <c r="F10" s="5">
        <f>overview_grade!B6</f>
        <v>1</v>
      </c>
      <c r="G10" s="5">
        <v>0</v>
      </c>
      <c r="H10" s="5">
        <v>0</v>
      </c>
      <c r="I10" s="3"/>
    </row>
    <row r="11" spans="1:9" s="8" customFormat="1" ht="75" x14ac:dyDescent="0.25">
      <c r="A11" s="6" t="s">
        <v>19</v>
      </c>
      <c r="B11" s="6" t="s">
        <v>73</v>
      </c>
      <c r="C11" s="6" t="s">
        <v>75</v>
      </c>
      <c r="D11" s="6" t="s">
        <v>77</v>
      </c>
      <c r="E11" s="6" t="s">
        <v>76</v>
      </c>
      <c r="F11" s="7"/>
      <c r="G11" s="7"/>
      <c r="H11" s="7"/>
      <c r="I11" s="3"/>
    </row>
    <row r="12" spans="1:9" x14ac:dyDescent="0.25">
      <c r="A12" s="11" t="s">
        <v>71</v>
      </c>
      <c r="B12" s="3"/>
      <c r="C12" s="3"/>
      <c r="D12" s="3"/>
      <c r="E12" s="3"/>
      <c r="F12" s="4">
        <f>SUM(F2,F4,F6,F8,F10)</f>
        <v>5</v>
      </c>
      <c r="G12" s="4">
        <f>SUM(F2*G2,F4*G4,F6*G6,F8*G8,F10*G10)</f>
        <v>0</v>
      </c>
      <c r="H12" s="4">
        <f>SUM(H2,H4,H6,H8,H10)</f>
        <v>0</v>
      </c>
      <c r="I12" s="3"/>
    </row>
    <row r="13" spans="1:9" x14ac:dyDescent="0.25">
      <c r="A13" s="11" t="s">
        <v>72</v>
      </c>
      <c r="B13" s="3"/>
      <c r="C13" s="3"/>
      <c r="D13" s="3"/>
      <c r="E13" s="3"/>
      <c r="F13" s="3"/>
      <c r="G13" s="5">
        <f>IF(G12=0, 1, (6-4)/(3*$F$12-1*$F$12)*(G12-$F$12)+4)</f>
        <v>1</v>
      </c>
      <c r="H13" s="5"/>
      <c r="I13" s="3"/>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F0D7-9990-4E02-B700-59BB396EADA0}">
  <dimension ref="A1:I12"/>
  <sheetViews>
    <sheetView zoomScale="88" zoomScaleNormal="140" workbookViewId="0">
      <selection activeCell="I2" sqref="I2"/>
    </sheetView>
  </sheetViews>
  <sheetFormatPr defaultRowHeight="15" x14ac:dyDescent="0.25"/>
  <cols>
    <col min="1" max="1" width="42.42578125" customWidth="1"/>
    <col min="2" max="2" width="28.7109375" bestFit="1" customWidth="1"/>
    <col min="3" max="3" width="29.42578125" customWidth="1"/>
    <col min="4" max="4" width="29.28515625" bestFit="1" customWidth="1"/>
    <col min="5" max="5" width="29.140625" bestFit="1" customWidth="1"/>
    <col min="6" max="6" width="7.42578125" bestFit="1" customWidth="1"/>
    <col min="7" max="7" width="15.5703125" bestFit="1" customWidth="1"/>
    <col min="8" max="8" width="15.5703125" customWidth="1"/>
    <col min="9" max="9" width="38.5703125" customWidth="1"/>
  </cols>
  <sheetData>
    <row r="1" spans="1:9" x14ac:dyDescent="0.25">
      <c r="A1" s="1" t="s">
        <v>42</v>
      </c>
      <c r="B1" s="1" t="s">
        <v>23</v>
      </c>
      <c r="C1" s="1" t="s">
        <v>22</v>
      </c>
      <c r="D1" s="1" t="s">
        <v>20</v>
      </c>
      <c r="E1" s="1" t="s">
        <v>21</v>
      </c>
      <c r="F1" s="1" t="s">
        <v>40</v>
      </c>
      <c r="G1" s="1" t="s">
        <v>41</v>
      </c>
      <c r="H1" s="1" t="s">
        <v>81</v>
      </c>
      <c r="I1" s="1" t="s">
        <v>70</v>
      </c>
    </row>
    <row r="2" spans="1:9" x14ac:dyDescent="0.25">
      <c r="A2" s="1" t="s">
        <v>24</v>
      </c>
      <c r="B2" s="4"/>
      <c r="C2" s="4"/>
      <c r="D2" s="4"/>
      <c r="E2" s="4"/>
      <c r="F2" s="5">
        <f>overview_grade!B2</f>
        <v>1</v>
      </c>
      <c r="G2" s="5">
        <v>0</v>
      </c>
      <c r="H2" s="5">
        <v>0</v>
      </c>
      <c r="I2" s="3"/>
    </row>
    <row r="3" spans="1:9" s="8" customFormat="1" ht="90" x14ac:dyDescent="0.25">
      <c r="A3" s="6" t="s">
        <v>16</v>
      </c>
      <c r="B3" s="6" t="s">
        <v>33</v>
      </c>
      <c r="C3" s="6" t="s">
        <v>34</v>
      </c>
      <c r="D3" s="6" t="s">
        <v>35</v>
      </c>
      <c r="E3" s="6" t="s">
        <v>36</v>
      </c>
      <c r="F3" s="7"/>
      <c r="G3" s="7"/>
      <c r="H3" s="7"/>
      <c r="I3" s="3"/>
    </row>
    <row r="4" spans="1:9" x14ac:dyDescent="0.25">
      <c r="A4" s="1" t="s">
        <v>80</v>
      </c>
      <c r="B4" s="3"/>
      <c r="C4" s="3"/>
      <c r="D4" s="3"/>
      <c r="E4" s="3"/>
      <c r="F4" s="5">
        <f>overview_grade!B3</f>
        <v>1</v>
      </c>
      <c r="G4" s="5">
        <v>0</v>
      </c>
      <c r="H4" s="5">
        <v>0</v>
      </c>
      <c r="I4" s="3"/>
    </row>
    <row r="5" spans="1:9" s="8" customFormat="1" ht="75" x14ac:dyDescent="0.25">
      <c r="A5" s="6" t="s">
        <v>17</v>
      </c>
      <c r="B5" s="6" t="s">
        <v>29</v>
      </c>
      <c r="C5" s="6" t="s">
        <v>30</v>
      </c>
      <c r="D5" s="6" t="s">
        <v>31</v>
      </c>
      <c r="E5" s="6" t="s">
        <v>32</v>
      </c>
      <c r="F5" s="7"/>
      <c r="G5" s="7"/>
      <c r="H5" s="7"/>
      <c r="I5" s="3"/>
    </row>
    <row r="6" spans="1:9" x14ac:dyDescent="0.25">
      <c r="A6" s="1" t="s">
        <v>26</v>
      </c>
      <c r="B6" s="3"/>
      <c r="C6" s="3"/>
      <c r="D6" s="3"/>
      <c r="E6" s="3"/>
      <c r="F6" s="5">
        <f>overview_grade!B4</f>
        <v>1</v>
      </c>
      <c r="G6" s="5">
        <v>0</v>
      </c>
      <c r="H6" s="5">
        <v>0</v>
      </c>
      <c r="I6" s="3"/>
    </row>
    <row r="7" spans="1:9" s="8" customFormat="1" ht="90" x14ac:dyDescent="0.25">
      <c r="A7" s="6" t="s">
        <v>60</v>
      </c>
      <c r="B7" s="6" t="s">
        <v>69</v>
      </c>
      <c r="C7" s="6" t="s">
        <v>61</v>
      </c>
      <c r="D7" s="6" t="s">
        <v>62</v>
      </c>
      <c r="E7" s="6" t="s">
        <v>63</v>
      </c>
      <c r="F7" s="7"/>
      <c r="G7" s="7"/>
      <c r="H7" s="7"/>
      <c r="I7" s="3"/>
    </row>
    <row r="8" spans="1:9" x14ac:dyDescent="0.25">
      <c r="A8" s="1" t="s">
        <v>27</v>
      </c>
      <c r="B8" s="3"/>
      <c r="C8" s="3"/>
      <c r="D8" s="3"/>
      <c r="E8" s="3"/>
      <c r="F8" s="5">
        <f>overview_grade!B5</f>
        <v>1</v>
      </c>
      <c r="G8" s="5">
        <v>0</v>
      </c>
      <c r="H8" s="5">
        <v>0</v>
      </c>
      <c r="I8" s="3"/>
    </row>
    <row r="9" spans="1:9" s="8" customFormat="1" ht="90" x14ac:dyDescent="0.25">
      <c r="A9" s="6" t="s">
        <v>74</v>
      </c>
      <c r="B9" s="6" t="s">
        <v>37</v>
      </c>
      <c r="C9" s="6" t="s">
        <v>38</v>
      </c>
      <c r="D9" s="6" t="s">
        <v>39</v>
      </c>
      <c r="E9" s="6" t="s">
        <v>78</v>
      </c>
      <c r="F9" s="7"/>
      <c r="G9" s="7"/>
      <c r="H9" s="7"/>
      <c r="I9" s="3"/>
    </row>
    <row r="10" spans="1:9" x14ac:dyDescent="0.25">
      <c r="A10" s="1" t="s">
        <v>28</v>
      </c>
      <c r="B10" s="3"/>
      <c r="C10" s="3"/>
      <c r="D10" s="3"/>
      <c r="E10" s="3"/>
      <c r="F10" s="5">
        <f>overview_grade!B6</f>
        <v>1</v>
      </c>
      <c r="G10" s="5">
        <v>0</v>
      </c>
      <c r="H10" s="5">
        <v>0</v>
      </c>
      <c r="I10" s="3"/>
    </row>
    <row r="11" spans="1:9" s="8" customFormat="1" ht="75" x14ac:dyDescent="0.25">
      <c r="A11" s="6" t="s">
        <v>19</v>
      </c>
      <c r="B11" s="6" t="s">
        <v>73</v>
      </c>
      <c r="C11" s="6" t="s">
        <v>75</v>
      </c>
      <c r="D11" s="6" t="s">
        <v>77</v>
      </c>
      <c r="E11" s="6" t="s">
        <v>76</v>
      </c>
      <c r="F11" s="7"/>
      <c r="G11" s="7"/>
      <c r="H11" s="7"/>
      <c r="I11" s="3"/>
    </row>
    <row r="12" spans="1:9" x14ac:dyDescent="0.25">
      <c r="A12" s="11" t="s">
        <v>71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C86-D5B1-4E00-9C1F-CF58BEEE4A7C}">
  <dimension ref="A1:I12"/>
  <sheetViews>
    <sheetView zoomScale="88" zoomScaleNormal="140" workbookViewId="0">
      <selection activeCell="G11" sqref="G11"/>
    </sheetView>
  </sheetViews>
  <sheetFormatPr defaultRowHeight="15" x14ac:dyDescent="0.25"/>
  <cols>
    <col min="1" max="1" width="42.42578125" customWidth="1"/>
    <col min="2" max="2" width="28.7109375" bestFit="1" customWidth="1"/>
    <col min="3" max="3" width="29.42578125" customWidth="1"/>
    <col min="4" max="4" width="29.28515625" bestFit="1" customWidth="1"/>
    <col min="5" max="5" width="29.140625" bestFit="1" customWidth="1"/>
    <col min="6" max="6" width="7.42578125" bestFit="1" customWidth="1"/>
    <col min="7" max="7" width="15.5703125" bestFit="1" customWidth="1"/>
    <col min="8" max="8" width="15.5703125" customWidth="1"/>
    <col min="9" max="9" width="38.5703125" customWidth="1"/>
  </cols>
  <sheetData>
    <row r="1" spans="1:9" x14ac:dyDescent="0.25">
      <c r="A1" s="1" t="s">
        <v>42</v>
      </c>
      <c r="B1" s="1" t="s">
        <v>23</v>
      </c>
      <c r="C1" s="1" t="s">
        <v>22</v>
      </c>
      <c r="D1" s="1" t="s">
        <v>20</v>
      </c>
      <c r="E1" s="1" t="s">
        <v>21</v>
      </c>
      <c r="F1" s="1" t="s">
        <v>40</v>
      </c>
      <c r="G1" s="1" t="s">
        <v>41</v>
      </c>
      <c r="H1" s="1" t="s">
        <v>81</v>
      </c>
      <c r="I1" s="1" t="s">
        <v>70</v>
      </c>
    </row>
    <row r="2" spans="1:9" x14ac:dyDescent="0.25">
      <c r="A2" s="1" t="s">
        <v>24</v>
      </c>
      <c r="B2" s="4"/>
      <c r="C2" s="4"/>
      <c r="D2" s="4"/>
      <c r="E2" s="4"/>
      <c r="F2" s="5">
        <f>overview_grade!B2</f>
        <v>1</v>
      </c>
      <c r="G2" s="5">
        <v>0</v>
      </c>
      <c r="H2" s="5">
        <v>0</v>
      </c>
      <c r="I2" s="3"/>
    </row>
    <row r="3" spans="1:9" s="8" customFormat="1" ht="90" x14ac:dyDescent="0.25">
      <c r="A3" s="6" t="s">
        <v>16</v>
      </c>
      <c r="B3" s="6" t="s">
        <v>33</v>
      </c>
      <c r="C3" s="6" t="s">
        <v>34</v>
      </c>
      <c r="D3" s="6" t="s">
        <v>35</v>
      </c>
      <c r="E3" s="6" t="s">
        <v>36</v>
      </c>
      <c r="F3" s="7"/>
      <c r="G3" s="7"/>
      <c r="H3" s="7"/>
      <c r="I3" s="3"/>
    </row>
    <row r="4" spans="1:9" x14ac:dyDescent="0.25">
      <c r="A4" s="1" t="s">
        <v>80</v>
      </c>
      <c r="B4" s="3"/>
      <c r="C4" s="3"/>
      <c r="D4" s="3"/>
      <c r="E4" s="3"/>
      <c r="F4" s="5">
        <f>overview_grade!B3</f>
        <v>1</v>
      </c>
      <c r="G4" s="5">
        <v>0</v>
      </c>
      <c r="H4" s="5">
        <v>0</v>
      </c>
      <c r="I4" s="3"/>
    </row>
    <row r="5" spans="1:9" s="8" customFormat="1" ht="75" x14ac:dyDescent="0.25">
      <c r="A5" s="6" t="s">
        <v>17</v>
      </c>
      <c r="B5" s="6" t="s">
        <v>29</v>
      </c>
      <c r="C5" s="6" t="s">
        <v>30</v>
      </c>
      <c r="D5" s="6" t="s">
        <v>31</v>
      </c>
      <c r="E5" s="6" t="s">
        <v>32</v>
      </c>
      <c r="F5" s="7"/>
      <c r="G5" s="7"/>
      <c r="H5" s="7"/>
      <c r="I5" s="3"/>
    </row>
    <row r="6" spans="1:9" x14ac:dyDescent="0.25">
      <c r="A6" s="1" t="s">
        <v>26</v>
      </c>
      <c r="B6" s="3"/>
      <c r="C6" s="3"/>
      <c r="D6" s="3"/>
      <c r="E6" s="3"/>
      <c r="F6" s="5">
        <f>overview_grade!B4</f>
        <v>1</v>
      </c>
      <c r="G6" s="5">
        <v>0</v>
      </c>
      <c r="H6" s="5">
        <v>0</v>
      </c>
      <c r="I6" s="3"/>
    </row>
    <row r="7" spans="1:9" s="8" customFormat="1" ht="90" x14ac:dyDescent="0.25">
      <c r="A7" s="6" t="s">
        <v>60</v>
      </c>
      <c r="B7" s="6" t="s">
        <v>69</v>
      </c>
      <c r="C7" s="6" t="s">
        <v>61</v>
      </c>
      <c r="D7" s="6" t="s">
        <v>62</v>
      </c>
      <c r="E7" s="6" t="s">
        <v>63</v>
      </c>
      <c r="F7" s="7"/>
      <c r="G7" s="7"/>
      <c r="H7" s="7"/>
      <c r="I7" s="3"/>
    </row>
    <row r="8" spans="1:9" x14ac:dyDescent="0.25">
      <c r="A8" s="1" t="s">
        <v>27</v>
      </c>
      <c r="B8" s="3"/>
      <c r="C8" s="3"/>
      <c r="D8" s="3"/>
      <c r="E8" s="3"/>
      <c r="F8" s="5">
        <f>overview_grade!B5</f>
        <v>1</v>
      </c>
      <c r="G8" s="5">
        <v>0</v>
      </c>
      <c r="H8" s="5">
        <v>0</v>
      </c>
      <c r="I8" s="3"/>
    </row>
    <row r="9" spans="1:9" s="8" customFormat="1" ht="90" x14ac:dyDescent="0.25">
      <c r="A9" s="6" t="s">
        <v>74</v>
      </c>
      <c r="B9" s="6" t="s">
        <v>37</v>
      </c>
      <c r="C9" s="6" t="s">
        <v>38</v>
      </c>
      <c r="D9" s="6" t="s">
        <v>39</v>
      </c>
      <c r="E9" s="6" t="s">
        <v>78</v>
      </c>
      <c r="F9" s="7"/>
      <c r="G9" s="7"/>
      <c r="H9" s="7"/>
      <c r="I9" s="3"/>
    </row>
    <row r="10" spans="1:9" x14ac:dyDescent="0.25">
      <c r="A10" s="1" t="s">
        <v>28</v>
      </c>
      <c r="B10" s="3"/>
      <c r="C10" s="3"/>
      <c r="D10" s="3"/>
      <c r="E10" s="3"/>
      <c r="F10" s="5">
        <f>overview_grade!B6</f>
        <v>1</v>
      </c>
      <c r="G10" s="5">
        <v>0</v>
      </c>
      <c r="H10" s="5">
        <v>0</v>
      </c>
      <c r="I10" s="3"/>
    </row>
    <row r="11" spans="1:9" s="8" customFormat="1" ht="75" x14ac:dyDescent="0.25">
      <c r="A11" s="6" t="s">
        <v>19</v>
      </c>
      <c r="B11" s="6" t="s">
        <v>73</v>
      </c>
      <c r="C11" s="6" t="s">
        <v>75</v>
      </c>
      <c r="D11" s="6" t="s">
        <v>77</v>
      </c>
      <c r="E11" s="6" t="s">
        <v>76</v>
      </c>
      <c r="F11" s="7"/>
      <c r="G11" s="7"/>
      <c r="H11" s="7"/>
      <c r="I11" s="3"/>
    </row>
    <row r="12" spans="1:9" x14ac:dyDescent="0.25">
      <c r="A12" s="11" t="s">
        <v>71</v>
      </c>
      <c r="B12" s="3"/>
      <c r="C12" s="3"/>
      <c r="D12" s="3"/>
      <c r="E12" s="3"/>
      <c r="F12" s="4">
        <f>SUM(F2,F4,F6,F8,F10)</f>
        <v>5</v>
      </c>
      <c r="G12" s="4">
        <f>SUM(F2*G2,F4*G4,F6*G6,F8*G8,F10*G10)</f>
        <v>0</v>
      </c>
      <c r="H12" s="4">
        <f>SUM(H2,H4,H6,H8,H10)</f>
        <v>0</v>
      </c>
      <c r="I12" s="3"/>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717-E649-46CF-9BAE-3300746199E3}">
  <dimension ref="A1:B5"/>
  <sheetViews>
    <sheetView workbookViewId="0">
      <selection activeCell="B6" sqref="B6"/>
    </sheetView>
  </sheetViews>
  <sheetFormatPr defaultRowHeight="15" x14ac:dyDescent="0.25"/>
  <cols>
    <col min="1" max="1" width="40" customWidth="1"/>
  </cols>
  <sheetData>
    <row r="1" spans="1:2" x14ac:dyDescent="0.25">
      <c r="A1" s="1" t="s">
        <v>11</v>
      </c>
      <c r="B1" t="s">
        <v>16</v>
      </c>
    </row>
    <row r="2" spans="1:2" x14ac:dyDescent="0.25">
      <c r="A2" s="1" t="s">
        <v>12</v>
      </c>
      <c r="B2" t="s">
        <v>17</v>
      </c>
    </row>
    <row r="3" spans="1:2" x14ac:dyDescent="0.25">
      <c r="A3" s="1" t="s">
        <v>13</v>
      </c>
      <c r="B3" t="s">
        <v>18</v>
      </c>
    </row>
    <row r="4" spans="1:2" x14ac:dyDescent="0.25">
      <c r="A4" s="1" t="s">
        <v>14</v>
      </c>
      <c r="B4" t="s">
        <v>79</v>
      </c>
    </row>
    <row r="5" spans="1:2" x14ac:dyDescent="0.25">
      <c r="A5" s="1" t="s">
        <v>15</v>
      </c>
      <c r="B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F91-DCD1-4FF1-8592-D5584E580E92}">
  <dimension ref="A1:A22"/>
  <sheetViews>
    <sheetView workbookViewId="0">
      <selection activeCell="A25" sqref="A25"/>
    </sheetView>
  </sheetViews>
  <sheetFormatPr defaultRowHeight="15" x14ac:dyDescent="0.25"/>
  <cols>
    <col min="1" max="1" width="92.140625" customWidth="1"/>
  </cols>
  <sheetData>
    <row r="1" spans="1:1" x14ac:dyDescent="0.25">
      <c r="A1" s="1" t="s">
        <v>23</v>
      </c>
    </row>
    <row r="2" spans="1:1" x14ac:dyDescent="0.25">
      <c r="A2" t="s">
        <v>3</v>
      </c>
    </row>
    <row r="3" spans="1:1" x14ac:dyDescent="0.25">
      <c r="A3" t="s">
        <v>10</v>
      </c>
    </row>
    <row r="4" spans="1:1" x14ac:dyDescent="0.25">
      <c r="A4" t="s">
        <v>57</v>
      </c>
    </row>
    <row r="6" spans="1:1" x14ac:dyDescent="0.25">
      <c r="A6" s="1" t="s">
        <v>22</v>
      </c>
    </row>
    <row r="7" spans="1:1" x14ac:dyDescent="0.25">
      <c r="A7" t="s">
        <v>4</v>
      </c>
    </row>
    <row r="8" spans="1:1" x14ac:dyDescent="0.25">
      <c r="A8" t="s">
        <v>5</v>
      </c>
    </row>
    <row r="9" spans="1:1" x14ac:dyDescent="0.25">
      <c r="A9" s="2" t="s">
        <v>0</v>
      </c>
    </row>
    <row r="10" spans="1:1" x14ac:dyDescent="0.25">
      <c r="A10" t="s">
        <v>56</v>
      </c>
    </row>
    <row r="12" spans="1:1" x14ac:dyDescent="0.25">
      <c r="A12" s="1" t="s">
        <v>20</v>
      </c>
    </row>
    <row r="13" spans="1:1" x14ac:dyDescent="0.25">
      <c r="A13" t="s">
        <v>6</v>
      </c>
    </row>
    <row r="14" spans="1:1" x14ac:dyDescent="0.25">
      <c r="A14" t="s">
        <v>7</v>
      </c>
    </row>
    <row r="15" spans="1:1" x14ac:dyDescent="0.25">
      <c r="A15" s="2" t="s">
        <v>1</v>
      </c>
    </row>
    <row r="16" spans="1:1" x14ac:dyDescent="0.25">
      <c r="A16" t="s">
        <v>58</v>
      </c>
    </row>
    <row r="18" spans="1:1" x14ac:dyDescent="0.25">
      <c r="A18" s="1" t="s">
        <v>21</v>
      </c>
    </row>
    <row r="19" spans="1:1" x14ac:dyDescent="0.25">
      <c r="A19" t="s">
        <v>8</v>
      </c>
    </row>
    <row r="20" spans="1:1" x14ac:dyDescent="0.25">
      <c r="A20" t="s">
        <v>9</v>
      </c>
    </row>
    <row r="21" spans="1:1" x14ac:dyDescent="0.25">
      <c r="A21" s="2" t="s">
        <v>2</v>
      </c>
    </row>
    <row r="22" spans="1:1" x14ac:dyDescent="0.25">
      <c r="A22"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C72A-44A9-4C96-AF81-A339C87B2AFE}">
  <dimension ref="A1:D6"/>
  <sheetViews>
    <sheetView zoomScale="125" workbookViewId="0">
      <selection activeCell="B7" sqref="B7"/>
    </sheetView>
  </sheetViews>
  <sheetFormatPr defaultRowHeight="15" x14ac:dyDescent="0.25"/>
  <cols>
    <col min="1" max="1" width="30.7109375" customWidth="1"/>
    <col min="2" max="2" width="63.7109375" bestFit="1" customWidth="1"/>
    <col min="3" max="3" width="63.28515625" customWidth="1"/>
    <col min="4" max="4" width="56.28515625" bestFit="1" customWidth="1"/>
  </cols>
  <sheetData>
    <row r="1" spans="1:4" x14ac:dyDescent="0.25">
      <c r="A1" t="s">
        <v>42</v>
      </c>
      <c r="B1" t="s">
        <v>43</v>
      </c>
      <c r="C1" t="s">
        <v>44</v>
      </c>
      <c r="D1" t="s">
        <v>45</v>
      </c>
    </row>
    <row r="2" spans="1:4" ht="120" x14ac:dyDescent="0.25">
      <c r="A2" s="9" t="s">
        <v>24</v>
      </c>
      <c r="B2" s="10" t="s">
        <v>64</v>
      </c>
      <c r="C2" s="10" t="s">
        <v>47</v>
      </c>
      <c r="D2" s="10" t="s">
        <v>46</v>
      </c>
    </row>
    <row r="3" spans="1:4" ht="120" x14ac:dyDescent="0.25">
      <c r="A3" s="9" t="s">
        <v>25</v>
      </c>
      <c r="B3" s="10" t="s">
        <v>65</v>
      </c>
      <c r="C3" s="10" t="s">
        <v>51</v>
      </c>
      <c r="D3" s="10" t="s">
        <v>48</v>
      </c>
    </row>
    <row r="4" spans="1:4" ht="105" x14ac:dyDescent="0.25">
      <c r="A4" s="9" t="s">
        <v>26</v>
      </c>
      <c r="B4" s="10" t="s">
        <v>66</v>
      </c>
      <c r="C4" s="10" t="s">
        <v>49</v>
      </c>
      <c r="D4" s="10" t="s">
        <v>50</v>
      </c>
    </row>
    <row r="5" spans="1:4" ht="90" x14ac:dyDescent="0.25">
      <c r="A5" s="9" t="s">
        <v>27</v>
      </c>
      <c r="B5" s="10" t="s">
        <v>67</v>
      </c>
      <c r="C5" s="10" t="s">
        <v>52</v>
      </c>
      <c r="D5" s="10" t="s">
        <v>53</v>
      </c>
    </row>
    <row r="6" spans="1:4" ht="135" x14ac:dyDescent="0.25">
      <c r="A6" s="9" t="s">
        <v>28</v>
      </c>
      <c r="B6" s="10" t="s">
        <v>68</v>
      </c>
      <c r="C6" s="10" t="s">
        <v>54</v>
      </c>
      <c r="D6" s="10" t="s">
        <v>55</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ddc29ddb-c74d-4514-99f4-570c1300a6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ABDC321495D974887505CF2F50D011C" ma:contentTypeVersion="1" ma:contentTypeDescription="Ein neues Dokument erstellen." ma:contentTypeScope="" ma:versionID="475f10ca2a3cdb61ff1516a3065ed4e5">
  <xsd:schema xmlns:xsd="http://www.w3.org/2001/XMLSchema" xmlns:xs="http://www.w3.org/2001/XMLSchema" xmlns:p="http://schemas.microsoft.com/office/2006/metadata/properties" xmlns:ns2="ddc29ddb-c74d-4514-99f4-570c1300a618" targetNamespace="http://schemas.microsoft.com/office/2006/metadata/properties" ma:root="true" ma:fieldsID="0eb2d901205c9acdb9ee3fd5ad989b83" ns2:_="">
    <xsd:import namespace="ddc29ddb-c74d-4514-99f4-570c1300a618"/>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c29ddb-c74d-4514-99f4-570c1300a618"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FECE0C-3BE0-47BB-A117-025CE9F06720}">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5a081e8b-0fa2-4168-b500-68ac02f407ad"/>
    <ds:schemaRef ds:uri="http://schemas.openxmlformats.org/package/2006/metadata/core-properties"/>
    <ds:schemaRef ds:uri="02978372-0e66-47ef-8e35-29bc77d09bcc"/>
    <ds:schemaRef ds:uri="http://schemas.microsoft.com/office/2006/metadata/properties"/>
    <ds:schemaRef ds:uri="http://purl.org/dc/dcmitype/"/>
    <ds:schemaRef ds:uri="2a23c68f-a610-4cf0-be32-d8fa933a1337"/>
    <ds:schemaRef ds:uri="76f780aa-2d06-4e38-b1e0-203efab4445e"/>
  </ds:schemaRefs>
</ds:datastoreItem>
</file>

<file path=customXml/itemProps2.xml><?xml version="1.0" encoding="utf-8"?>
<ds:datastoreItem xmlns:ds="http://schemas.openxmlformats.org/officeDocument/2006/customXml" ds:itemID="{F128635F-DD2F-4748-97C3-3202A7EBC2B3}"/>
</file>

<file path=customXml/itemProps3.xml><?xml version="1.0" encoding="utf-8"?>
<ds:datastoreItem xmlns:ds="http://schemas.openxmlformats.org/officeDocument/2006/customXml" ds:itemID="{242ADB89-C8F3-4EB1-91ED-E305977728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overview_grade</vt:lpstr>
      <vt:lpstr>task1</vt:lpstr>
      <vt:lpstr>task2</vt:lpstr>
      <vt:lpstr>task3</vt:lpstr>
      <vt:lpstr>competence_dimensions</vt:lpstr>
      <vt:lpstr>performance_levels</vt:lpstr>
      <vt:lpstr>gbsv_interpretations-indicators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Susanne Suter</cp:lastModifiedBy>
  <dcterms:created xsi:type="dcterms:W3CDTF">2026-02-11T08:27:48Z</dcterms:created>
  <dcterms:modified xsi:type="dcterms:W3CDTF">2026-02-24T13:20:57Z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0x0101006ABDC321495D974887505CF2F50D011C</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